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04" documentId="11_CBBF0E96895A3475DC461CCF33652BCD3DED4083" xr6:coauthVersionLast="47" xr6:coauthVersionMax="47" xr10:uidLastSave="{3A6BBD62-4507-402A-A713-F918B999D1E2}"/>
  <bookViews>
    <workbookView xWindow="240" yWindow="105" windowWidth="14805" windowHeight="8010" xr2:uid="{00000000-000D-0000-FFFF-FFFF00000000}"/>
  </bookViews>
  <sheets>
    <sheet name="loadshapes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J22" i="1"/>
  <c r="F22" i="1"/>
  <c r="F23" i="1"/>
  <c r="F24" i="1"/>
  <c r="F25" i="1"/>
  <c r="F26" i="1"/>
  <c r="F27" i="1"/>
  <c r="F28" i="1"/>
  <c r="F29" i="1"/>
  <c r="F30" i="1"/>
  <c r="F31" i="1"/>
  <c r="F32" i="1"/>
  <c r="F21" i="1"/>
  <c r="E22" i="1"/>
  <c r="E23" i="1"/>
  <c r="E24" i="1"/>
  <c r="E25" i="1"/>
  <c r="E26" i="1"/>
  <c r="E27" i="1"/>
  <c r="E28" i="1"/>
  <c r="E29" i="1"/>
  <c r="E30" i="1"/>
  <c r="E31" i="1"/>
  <c r="E32" i="1"/>
  <c r="E21" i="1"/>
  <c r="D22" i="1"/>
  <c r="D23" i="1"/>
  <c r="D24" i="1"/>
  <c r="D25" i="1"/>
  <c r="D26" i="1"/>
  <c r="D27" i="1"/>
  <c r="D28" i="1"/>
  <c r="D29" i="1"/>
  <c r="D30" i="1"/>
  <c r="D31" i="1"/>
  <c r="D32" i="1"/>
  <c r="D21" i="1"/>
  <c r="E14" i="1"/>
  <c r="F14" i="1"/>
  <c r="G14" i="1"/>
  <c r="H14" i="1"/>
  <c r="I14" i="1"/>
  <c r="D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Andrew Johnson</author>
  </authors>
  <commentList>
    <comment ref="A1" authorId="0" shapeId="0" xr:uid="{E6250DEF-EE6D-44F3-8BD4-F94D47836C53}">
      <text>
        <r>
          <rPr>
            <sz val="11"/>
            <color theme="1"/>
            <rFont val="Aptos Narrow"/>
            <family val="2"/>
            <scheme val="minor"/>
          </rPr>
          <t xml:space="preserve">Andrew Johnson:
make this at the enduse level - savings will already be at enduse 
Can add all enduses and fuels to the total
Do we have set definitions for Periods
8 capacity periods
8 energy periods
</t>
        </r>
      </text>
    </comment>
    <comment ref="D1" authorId="0" shapeId="0" xr:uid="{262B7E9C-1C04-481B-A6B4-980D3846A30A}">
      <text>
        <r>
          <rPr>
            <sz val="11"/>
            <color theme="1"/>
            <rFont val="Aptos Narrow"/>
            <family val="2"/>
            <scheme val="minor"/>
          </rPr>
          <t>Andrew Johnson:
Column name is weird but for now the code is making sure that it matches with the other relevant files</t>
        </r>
      </text>
    </comment>
  </commentList>
</comments>
</file>

<file path=xl/sharedStrings.xml><?xml version="1.0" encoding="utf-8"?>
<sst xmlns="http://schemas.openxmlformats.org/spreadsheetml/2006/main" count="60" uniqueCount="40">
  <si>
    <t>condition_name</t>
  </si>
  <si>
    <t>competition_group</t>
  </si>
  <si>
    <t>subgroup</t>
  </si>
  <si>
    <t>summer_on-peak</t>
  </si>
  <si>
    <t>summer_off-peak</t>
  </si>
  <si>
    <t>winter_on-peak</t>
  </si>
  <si>
    <t>winter_off-peak</t>
  </si>
  <si>
    <t>shoulder_on-peak</t>
  </si>
  <si>
    <t>shoulder_off-peak</t>
  </si>
  <si>
    <t>summer_gener_capacity</t>
  </si>
  <si>
    <t>winter_gener_capacity</t>
  </si>
  <si>
    <t>summer_tandd</t>
  </si>
  <si>
    <t>winter_tandd</t>
  </si>
  <si>
    <t>furnace_fuel_oil_existing_residential</t>
  </si>
  <si>
    <t>heating_cooling</t>
  </si>
  <si>
    <t>oil_furnace</t>
  </si>
  <si>
    <t>furnace_natural_gas_baseline_residential</t>
  </si>
  <si>
    <t>gas_furnace</t>
  </si>
  <si>
    <t>furnace_natural_gas_efficient_residential</t>
  </si>
  <si>
    <t>room_ac_electricity_baseline_residential</t>
  </si>
  <si>
    <t>room_ac</t>
  </si>
  <si>
    <t>room_ac_electricity_efficient_residential</t>
  </si>
  <si>
    <t>air_conditioner_electricity_baseline_residential</t>
  </si>
  <si>
    <t>central_ac</t>
  </si>
  <si>
    <t>air_conditioner_electricity_efficient_residential</t>
  </si>
  <si>
    <t>cchp_electricity_efficient_residential</t>
  </si>
  <si>
    <t>cchp</t>
  </si>
  <si>
    <t>refrigerator_electricity_existing_residential</t>
  </si>
  <si>
    <t>refrigeration</t>
  </si>
  <si>
    <t>full_size</t>
  </si>
  <si>
    <t>refrigerator_electricity_baseline_residential</t>
  </si>
  <si>
    <t>refrigerator_electricity_efficient_residential</t>
  </si>
  <si>
    <t>refrigerator_electricity_top10_residential</t>
  </si>
  <si>
    <t>whole_home_insultation_existing_residential</t>
  </si>
  <si>
    <t>whole_home</t>
  </si>
  <si>
    <t>none</t>
  </si>
  <si>
    <t>whole_home_insultation_baseline_residential</t>
  </si>
  <si>
    <t>whole_home_insultation_efficient_residential</t>
  </si>
  <si>
    <t>Wall Insulation_Res, E - Heat [Elec Heating] _Multifamily_Space Heating</t>
  </si>
  <si>
    <t>Wall Insulation_Res, E - Cool [Elec Heating] _Multifamily_Cooling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</si>
</sst>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_(* #,##0.0000_);_(* \(#,##0.0000\);_(* &quot;-&quot;??_);_(@_)"/>
    <numFmt numFmtId="166" formatCode="#,##0.0000_);[Red]\(#,##0.0000\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4" fillId="0" borderId="0" xfId="0" applyFont="1"/>
    <xf numFmtId="164" fontId="1" fillId="2" borderId="1" xfId="1" applyNumberFormat="1" applyFill="1" applyBorder="1" applyProtection="1">
      <protection locked="0"/>
    </xf>
    <xf numFmtId="164" fontId="5" fillId="2" borderId="1" xfId="1" applyNumberFormat="1" applyFont="1" applyFill="1" applyBorder="1" applyProtection="1">
      <protection locked="0"/>
    </xf>
    <xf numFmtId="0" fontId="3" fillId="3" borderId="0" xfId="0" applyFont="1" applyFill="1"/>
    <xf numFmtId="0" fontId="5" fillId="2" borderId="1" xfId="2" applyFont="1" applyFill="1" applyBorder="1" applyProtection="1">
      <protection locked="0"/>
    </xf>
    <xf numFmtId="165" fontId="1" fillId="2" borderId="1" xfId="3" applyNumberFormat="1" applyFill="1" applyBorder="1" applyProtection="1">
      <protection locked="0"/>
    </xf>
    <xf numFmtId="166" fontId="0" fillId="2" borderId="1" xfId="1" applyNumberFormat="1" applyFont="1" applyFill="1" applyBorder="1" applyProtection="1">
      <protection locked="0"/>
    </xf>
    <xf numFmtId="8" fontId="0" fillId="0" borderId="0" xfId="0" applyNumberFormat="1"/>
    <xf numFmtId="10" fontId="0" fillId="2" borderId="1" xfId="0" applyNumberFormat="1" applyFill="1" applyBorder="1" applyProtection="1">
      <protection locked="0"/>
    </xf>
  </cellXfs>
  <cellStyles count="4">
    <cellStyle name="Comma" xfId="3" builtinId="3"/>
    <cellStyle name="Normal" xfId="0" builtinId="0"/>
    <cellStyle name="Normal_PST Maine Triennial Plan" xfId="2" xr:uid="{14ECC767-CF4D-4D2F-A4A8-0F2E3142C26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workbookViewId="0">
      <selection activeCell="J24" sqref="J24"/>
    </sheetView>
  </sheetViews>
  <sheetFormatPr defaultRowHeight="15"/>
  <cols>
    <col min="1" max="1" width="42.85546875" customWidth="1"/>
    <col min="2" max="2" width="18.140625" customWidth="1"/>
    <col min="3" max="3" width="15.5703125" customWidth="1"/>
    <col min="4" max="4" width="15" customWidth="1"/>
    <col min="5" max="5" width="14.140625" customWidth="1"/>
    <col min="6" max="6" width="14.85546875" customWidth="1"/>
    <col min="7" max="7" width="12.5703125" customWidth="1"/>
    <col min="10" max="10" width="22.85546875" customWidth="1"/>
    <col min="11" max="11" width="22.5703125" customWidth="1"/>
  </cols>
  <sheetData>
    <row r="1" spans="1:13">
      <c r="A1" s="1" t="s">
        <v>0</v>
      </c>
      <c r="B1" s="2" t="s">
        <v>1</v>
      </c>
      <c r="C1" s="2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3" t="s">
        <v>13</v>
      </c>
      <c r="B2" s="3" t="s">
        <v>14</v>
      </c>
      <c r="C2" s="3" t="s">
        <v>15</v>
      </c>
      <c r="D2" s="5">
        <v>7.8778425231575966E-3</v>
      </c>
      <c r="E2" s="5">
        <v>1.8345799297094345E-2</v>
      </c>
      <c r="F2" s="5">
        <v>0.28181183338165283</v>
      </c>
      <c r="G2" s="5">
        <v>0.36880850791931152</v>
      </c>
      <c r="H2" s="6">
        <v>0.12986405193805695</v>
      </c>
      <c r="I2" s="6">
        <v>0.19329194724559784</v>
      </c>
      <c r="J2" s="9">
        <v>0</v>
      </c>
      <c r="K2" s="9">
        <v>0.3810066126706862</v>
      </c>
      <c r="L2" s="9">
        <v>0</v>
      </c>
      <c r="M2" s="9">
        <v>0.3810066126706862</v>
      </c>
    </row>
    <row r="3" spans="1:13">
      <c r="A3" s="3" t="s">
        <v>16</v>
      </c>
      <c r="B3" s="3" t="s">
        <v>14</v>
      </c>
      <c r="C3" s="3" t="s">
        <v>17</v>
      </c>
      <c r="D3" s="5">
        <v>7.8778425231575966E-3</v>
      </c>
      <c r="E3" s="5">
        <v>1.8345799297094345E-2</v>
      </c>
      <c r="F3" s="5">
        <v>0.28181183338165283</v>
      </c>
      <c r="G3" s="5">
        <v>0.36880850791931152</v>
      </c>
      <c r="H3" s="6">
        <v>0.12986405193805695</v>
      </c>
      <c r="I3" s="6">
        <v>0.19329194724559784</v>
      </c>
      <c r="J3" s="9">
        <v>0</v>
      </c>
      <c r="K3" s="9">
        <v>0.3810066126706862</v>
      </c>
      <c r="L3" s="9">
        <v>0</v>
      </c>
      <c r="M3" s="9">
        <v>0.3810066126706862</v>
      </c>
    </row>
    <row r="4" spans="1:13">
      <c r="A4" s="3" t="s">
        <v>18</v>
      </c>
      <c r="B4" s="3" t="s">
        <v>14</v>
      </c>
      <c r="C4" s="3" t="s">
        <v>17</v>
      </c>
      <c r="D4" s="5">
        <v>7.8778425231575966E-3</v>
      </c>
      <c r="E4" s="5">
        <v>1.8345799297094345E-2</v>
      </c>
      <c r="F4" s="5">
        <v>0.28181183338165283</v>
      </c>
      <c r="G4" s="5">
        <v>0.36880850791931152</v>
      </c>
      <c r="H4" s="6">
        <v>0.12986405193805695</v>
      </c>
      <c r="I4" s="6">
        <v>0.19329194724559784</v>
      </c>
      <c r="J4" s="9">
        <v>0</v>
      </c>
      <c r="K4" s="9">
        <v>0.3810066126706862</v>
      </c>
      <c r="L4" s="9">
        <v>0</v>
      </c>
      <c r="M4" s="9">
        <v>0.3810066126706862</v>
      </c>
    </row>
    <row r="5" spans="1:13">
      <c r="A5" s="3" t="s">
        <v>19</v>
      </c>
      <c r="B5" s="3" t="s">
        <v>14</v>
      </c>
      <c r="C5" s="3" t="s">
        <v>20</v>
      </c>
      <c r="D5" s="5">
        <v>0.49062061309814453</v>
      </c>
      <c r="E5" s="5">
        <v>0.37157672643661499</v>
      </c>
      <c r="F5" s="5">
        <v>2.0993791520595551E-2</v>
      </c>
      <c r="G5" s="5">
        <v>2.6758521795272827E-2</v>
      </c>
      <c r="H5" s="6">
        <v>4.8400141298770905E-2</v>
      </c>
      <c r="I5" s="6">
        <v>4.1650202125310898E-2</v>
      </c>
      <c r="J5" s="10">
        <v>0.37286116117435042</v>
      </c>
      <c r="K5">
        <v>0</v>
      </c>
      <c r="L5" s="10">
        <v>0.37286116117435042</v>
      </c>
      <c r="M5">
        <v>0</v>
      </c>
    </row>
    <row r="6" spans="1:13">
      <c r="A6" s="3" t="s">
        <v>21</v>
      </c>
      <c r="B6" s="3" t="s">
        <v>14</v>
      </c>
      <c r="C6" s="3" t="s">
        <v>20</v>
      </c>
      <c r="D6" s="5">
        <v>0.49062061309814453</v>
      </c>
      <c r="E6" s="5">
        <v>0.37157672643661499</v>
      </c>
      <c r="F6" s="5">
        <v>2.0993791520595551E-2</v>
      </c>
      <c r="G6" s="5">
        <v>2.6758521795272827E-2</v>
      </c>
      <c r="H6" s="6">
        <v>4.8400141298770905E-2</v>
      </c>
      <c r="I6" s="6">
        <v>4.1650202125310898E-2</v>
      </c>
      <c r="J6" s="10">
        <v>0.37286116117435042</v>
      </c>
      <c r="K6">
        <v>0</v>
      </c>
      <c r="L6" s="10">
        <v>0.37286116117435042</v>
      </c>
      <c r="M6">
        <v>0</v>
      </c>
    </row>
    <row r="7" spans="1:13">
      <c r="A7" s="3" t="s">
        <v>22</v>
      </c>
      <c r="B7" s="3" t="s">
        <v>14</v>
      </c>
      <c r="C7" s="3" t="s">
        <v>23</v>
      </c>
      <c r="D7" s="5">
        <v>0.49062061309814453</v>
      </c>
      <c r="E7" s="5">
        <v>0.37157672643661499</v>
      </c>
      <c r="F7" s="5">
        <v>2.0993791520595551E-2</v>
      </c>
      <c r="G7" s="5">
        <v>2.6758521795272827E-2</v>
      </c>
      <c r="H7" s="6">
        <v>4.8400141298770905E-2</v>
      </c>
      <c r="I7" s="6">
        <v>4.1650202125310898E-2</v>
      </c>
      <c r="J7" s="10">
        <v>0.37286116117435042</v>
      </c>
      <c r="K7">
        <v>0</v>
      </c>
      <c r="L7" s="10">
        <v>0.37286116117435042</v>
      </c>
      <c r="M7">
        <v>0</v>
      </c>
    </row>
    <row r="8" spans="1:13">
      <c r="A8" s="3" t="s">
        <v>24</v>
      </c>
      <c r="B8" s="3" t="s">
        <v>14</v>
      </c>
      <c r="C8" s="3" t="s">
        <v>23</v>
      </c>
      <c r="D8" s="5">
        <v>0.49062061309814453</v>
      </c>
      <c r="E8" s="5">
        <v>0.37157672643661499</v>
      </c>
      <c r="F8" s="5">
        <v>2.0993791520595551E-2</v>
      </c>
      <c r="G8" s="5">
        <v>2.6758521795272827E-2</v>
      </c>
      <c r="H8" s="6">
        <v>4.8400141298770905E-2</v>
      </c>
      <c r="I8" s="6">
        <v>4.1650202125310898E-2</v>
      </c>
      <c r="J8" s="10">
        <v>0.37286116117435042</v>
      </c>
      <c r="K8">
        <v>0</v>
      </c>
      <c r="L8" s="10">
        <v>0.37286116117435042</v>
      </c>
      <c r="M8">
        <v>0</v>
      </c>
    </row>
    <row r="9" spans="1:13">
      <c r="A9" s="3" t="s">
        <v>25</v>
      </c>
      <c r="B9" s="3" t="s">
        <v>14</v>
      </c>
      <c r="C9" s="3" t="s">
        <v>26</v>
      </c>
      <c r="D9" s="5">
        <v>0.49062061309814453</v>
      </c>
      <c r="E9" s="5">
        <v>0.37157672643661499</v>
      </c>
      <c r="F9" s="5">
        <v>2.0993791520595551E-2</v>
      </c>
      <c r="G9" s="5">
        <v>2.6758521795272827E-2</v>
      </c>
      <c r="H9" s="6">
        <v>4.8400141298770905E-2</v>
      </c>
      <c r="I9" s="6">
        <v>4.1650202125310898E-2</v>
      </c>
      <c r="J9" s="10">
        <v>0.37286116117435042</v>
      </c>
      <c r="K9">
        <v>0</v>
      </c>
      <c r="L9" s="10">
        <v>0.37286116117435042</v>
      </c>
      <c r="M9">
        <v>0</v>
      </c>
    </row>
    <row r="10" spans="1:13">
      <c r="A10" s="3" t="s">
        <v>27</v>
      </c>
      <c r="B10" s="3" t="s">
        <v>28</v>
      </c>
      <c r="C10" s="3" t="s">
        <v>29</v>
      </c>
      <c r="D10" s="5">
        <v>0.2208627313375473</v>
      </c>
      <c r="E10" s="5">
        <v>0.23739945888519287</v>
      </c>
      <c r="F10" s="5">
        <v>9.5015056431293488E-2</v>
      </c>
      <c r="G10" s="5">
        <v>0.11033865064382553</v>
      </c>
      <c r="H10" s="6">
        <v>0.16472350060939789</v>
      </c>
      <c r="I10" s="6">
        <v>0.17166060209274292</v>
      </c>
      <c r="J10" s="9">
        <v>1.186104</v>
      </c>
      <c r="K10" s="9">
        <v>0.88826399999999994</v>
      </c>
      <c r="L10" s="10">
        <v>1.186104</v>
      </c>
      <c r="M10" s="8">
        <v>0.88826399999999994</v>
      </c>
    </row>
    <row r="11" spans="1:13">
      <c r="A11" s="3" t="s">
        <v>30</v>
      </c>
      <c r="B11" s="3" t="s">
        <v>28</v>
      </c>
      <c r="C11" s="3" t="s">
        <v>29</v>
      </c>
      <c r="D11" s="5">
        <v>0.2208627313375473</v>
      </c>
      <c r="E11" s="5">
        <v>0.23739945888519287</v>
      </c>
      <c r="F11" s="5">
        <v>9.5015056431293488E-2</v>
      </c>
      <c r="G11" s="5">
        <v>0.11033865064382553</v>
      </c>
      <c r="H11" s="6">
        <v>0.16472350060939789</v>
      </c>
      <c r="I11" s="6">
        <v>0.17166060209274292</v>
      </c>
      <c r="J11" s="9">
        <v>1.186104</v>
      </c>
      <c r="K11" s="9">
        <v>0.88826399999999994</v>
      </c>
      <c r="L11" s="10">
        <v>1.186104</v>
      </c>
      <c r="M11" s="8">
        <v>0.88826399999999994</v>
      </c>
    </row>
    <row r="12" spans="1:13">
      <c r="A12" s="3" t="s">
        <v>31</v>
      </c>
      <c r="B12" s="3" t="s">
        <v>28</v>
      </c>
      <c r="C12" s="3" t="s">
        <v>29</v>
      </c>
      <c r="D12" s="5">
        <v>0.2208627313375473</v>
      </c>
      <c r="E12" s="5">
        <v>0.23739945888519287</v>
      </c>
      <c r="F12" s="5">
        <v>9.5015056431293488E-2</v>
      </c>
      <c r="G12" s="5">
        <v>0.11033865064382553</v>
      </c>
      <c r="H12" s="6">
        <v>0.16472350060939789</v>
      </c>
      <c r="I12" s="6">
        <v>0.17166060209274292</v>
      </c>
      <c r="J12" s="9">
        <v>1.186104</v>
      </c>
      <c r="K12" s="9">
        <v>0.88826399999999994</v>
      </c>
      <c r="L12" s="10">
        <v>1.186104</v>
      </c>
      <c r="M12" s="8">
        <v>0.88826399999999994</v>
      </c>
    </row>
    <row r="13" spans="1:13">
      <c r="A13" s="3" t="s">
        <v>32</v>
      </c>
      <c r="B13" s="3" t="s">
        <v>28</v>
      </c>
      <c r="C13" s="3" t="s">
        <v>29</v>
      </c>
      <c r="D13" s="5">
        <v>0.2208627313375473</v>
      </c>
      <c r="E13" s="5">
        <v>0.23739945888519287</v>
      </c>
      <c r="F13" s="5">
        <v>9.5015056431293488E-2</v>
      </c>
      <c r="G13" s="5">
        <v>0.11033865064382553</v>
      </c>
      <c r="H13" s="6">
        <v>0.16472350060939789</v>
      </c>
      <c r="I13" s="6">
        <v>0.17166060209274292</v>
      </c>
      <c r="J13" s="9">
        <v>1.186104</v>
      </c>
      <c r="K13" s="9">
        <v>0.88826399999999994</v>
      </c>
      <c r="L13" s="10">
        <v>1.186104</v>
      </c>
      <c r="M13" s="8">
        <v>0.88826399999999994</v>
      </c>
    </row>
    <row r="14" spans="1:13">
      <c r="A14" s="3" t="s">
        <v>33</v>
      </c>
      <c r="B14" s="7" t="s">
        <v>34</v>
      </c>
      <c r="C14" s="7" t="s">
        <v>35</v>
      </c>
      <c r="D14">
        <f>AVERAGE(Sheet2!B1:B2)</f>
        <v>0.24213783419691026</v>
      </c>
      <c r="E14">
        <f>AVERAGE(Sheet2!C1:C2)</f>
        <v>0.19750067032873631</v>
      </c>
      <c r="F14">
        <f>AVERAGE(Sheet2!D1:D2)</f>
        <v>0.15198543108999729</v>
      </c>
      <c r="G14">
        <f>AVERAGE(Sheet2!E1:E2)</f>
        <v>0.20428621582686901</v>
      </c>
      <c r="H14">
        <f>AVERAGE(Sheet2!F1:F2)</f>
        <v>8.8423352688550949E-2</v>
      </c>
      <c r="I14">
        <f>AVERAGE(Sheet2!G1:G2)</f>
        <v>0.11566651985049248</v>
      </c>
      <c r="J14" s="9">
        <v>0.37286116117435042</v>
      </c>
      <c r="K14" s="9">
        <v>0.3810066126706862</v>
      </c>
      <c r="L14" s="10">
        <v>0.37286116117435042</v>
      </c>
      <c r="M14" s="8">
        <v>0.3810066126706862</v>
      </c>
    </row>
    <row r="15" spans="1:13">
      <c r="A15" s="3" t="s">
        <v>36</v>
      </c>
      <c r="B15" s="3" t="s">
        <v>34</v>
      </c>
      <c r="C15" s="3" t="s">
        <v>35</v>
      </c>
      <c r="D15">
        <v>0.24213783419691026</v>
      </c>
      <c r="E15">
        <v>0.19750067032873631</v>
      </c>
      <c r="F15">
        <v>0.15198543108999729</v>
      </c>
      <c r="G15">
        <v>0.20428621582686901</v>
      </c>
      <c r="H15">
        <v>8.8423352688550949E-2</v>
      </c>
      <c r="I15">
        <v>0.11566651985049248</v>
      </c>
      <c r="J15" s="9">
        <v>0.37286116117435042</v>
      </c>
      <c r="K15" s="9">
        <v>0.3810066126706862</v>
      </c>
      <c r="L15" s="10">
        <v>0.37286116117435042</v>
      </c>
      <c r="M15" s="8">
        <v>0.3810066126706862</v>
      </c>
    </row>
    <row r="16" spans="1:13">
      <c r="A16" s="3" t="s">
        <v>37</v>
      </c>
      <c r="B16" s="3" t="s">
        <v>34</v>
      </c>
      <c r="C16" s="3" t="s">
        <v>35</v>
      </c>
      <c r="D16">
        <v>0.24213783419691026</v>
      </c>
      <c r="E16">
        <v>0.19750067032873631</v>
      </c>
      <c r="F16">
        <v>0.15198543108999729</v>
      </c>
      <c r="G16">
        <v>0.20428621582686901</v>
      </c>
      <c r="H16">
        <v>8.8423352688550949E-2</v>
      </c>
      <c r="I16">
        <v>0.11566651985049248</v>
      </c>
      <c r="J16" s="9">
        <v>0.37286116117435042</v>
      </c>
      <c r="K16" s="9">
        <v>0.3810066126706862</v>
      </c>
      <c r="L16" s="10">
        <v>0.37286116117435042</v>
      </c>
      <c r="M16" s="8">
        <v>0.3810066126706862</v>
      </c>
    </row>
    <row r="20" spans="4:11">
      <c r="D20" s="11">
        <v>0.06</v>
      </c>
      <c r="E20" s="11">
        <v>0.04</v>
      </c>
      <c r="F20" s="11">
        <v>0.06</v>
      </c>
      <c r="G20" s="11">
        <v>0.04</v>
      </c>
      <c r="H20" s="11">
        <v>0.04</v>
      </c>
      <c r="I20" s="11">
        <v>0.04</v>
      </c>
    </row>
    <row r="21" spans="4:11">
      <c r="D21">
        <f>SUMPRODUCT(D2:I2,D$20:I$20)</f>
        <v>4.5793792810291056E-2</v>
      </c>
      <c r="E21">
        <f>D21*100</f>
        <v>4.5793792810291052</v>
      </c>
      <c r="F21">
        <f>E21*(1-G$21)</f>
        <v>4.1475438148280599</v>
      </c>
      <c r="G21" s="12">
        <v>9.430000000000005E-2</v>
      </c>
      <c r="J21">
        <v>89.69</v>
      </c>
      <c r="K21">
        <v>9.430000000000005E-2</v>
      </c>
    </row>
    <row r="22" spans="4:11">
      <c r="D22">
        <f t="shared" ref="D22:D32" si="0">SUMPRODUCT(D3:I3,D$20:I$20)</f>
        <v>4.5793792810291056E-2</v>
      </c>
      <c r="E22">
        <f t="shared" ref="E22:E32" si="1">D22*100</f>
        <v>4.5793792810291052</v>
      </c>
      <c r="F22">
        <f t="shared" ref="F22:F32" si="2">E22*(1-G$21)</f>
        <v>4.1475438148280599</v>
      </c>
      <c r="J22">
        <f>J21*J5*(1-K21)</f>
        <v>30.288344721165387</v>
      </c>
    </row>
    <row r="23" spans="4:11">
      <c r="D23">
        <f t="shared" si="0"/>
        <v>4.5793792810291056E-2</v>
      </c>
      <c r="E23">
        <f t="shared" si="1"/>
        <v>4.5793792810291052</v>
      </c>
      <c r="F23">
        <f t="shared" si="2"/>
        <v>4.1475438148280599</v>
      </c>
      <c r="J23">
        <f>J22*75</f>
        <v>2271.6258540874042</v>
      </c>
    </row>
    <row r="24" spans="4:11">
      <c r="D24">
        <f t="shared" si="0"/>
        <v>5.0232287943363194E-2</v>
      </c>
      <c r="E24">
        <f t="shared" si="1"/>
        <v>5.023228794336319</v>
      </c>
      <c r="F24">
        <f t="shared" si="2"/>
        <v>4.549538319030404</v>
      </c>
    </row>
    <row r="25" spans="4:11">
      <c r="D25">
        <f t="shared" si="0"/>
        <v>5.0232287943363194E-2</v>
      </c>
      <c r="E25">
        <f t="shared" si="1"/>
        <v>5.023228794336319</v>
      </c>
      <c r="F25">
        <f t="shared" si="2"/>
        <v>4.549538319030404</v>
      </c>
    </row>
    <row r="26" spans="4:11">
      <c r="D26">
        <f t="shared" si="0"/>
        <v>5.0232287943363194E-2</v>
      </c>
      <c r="E26">
        <f t="shared" si="1"/>
        <v>5.023228794336319</v>
      </c>
      <c r="F26">
        <f t="shared" si="2"/>
        <v>4.549538319030404</v>
      </c>
    </row>
    <row r="27" spans="4:11">
      <c r="D27">
        <f t="shared" si="0"/>
        <v>5.0232287943363194E-2</v>
      </c>
      <c r="E27">
        <f t="shared" si="1"/>
        <v>5.023228794336319</v>
      </c>
      <c r="F27">
        <f t="shared" si="2"/>
        <v>4.549538319030404</v>
      </c>
    </row>
    <row r="28" spans="4:11">
      <c r="D28">
        <f t="shared" si="0"/>
        <v>5.0232287943363194E-2</v>
      </c>
      <c r="E28">
        <f t="shared" si="1"/>
        <v>5.023228794336319</v>
      </c>
      <c r="F28">
        <f t="shared" si="2"/>
        <v>4.549538319030404</v>
      </c>
    </row>
    <row r="29" spans="4:11">
      <c r="D29">
        <f t="shared" si="0"/>
        <v>4.6317555755376813E-2</v>
      </c>
      <c r="E29">
        <f t="shared" si="1"/>
        <v>4.6317555755376816</v>
      </c>
      <c r="F29">
        <f t="shared" si="2"/>
        <v>4.1949810247644779</v>
      </c>
    </row>
    <row r="30" spans="4:11">
      <c r="D30">
        <f t="shared" si="0"/>
        <v>4.6317555755376813E-2</v>
      </c>
      <c r="E30">
        <f t="shared" si="1"/>
        <v>4.6317555755376816</v>
      </c>
      <c r="F30">
        <f t="shared" si="2"/>
        <v>4.1949810247644779</v>
      </c>
    </row>
    <row r="31" spans="4:11">
      <c r="D31">
        <f t="shared" si="0"/>
        <v>4.6317555755376813E-2</v>
      </c>
      <c r="E31">
        <f t="shared" si="1"/>
        <v>4.6317555755376816</v>
      </c>
      <c r="F31">
        <f t="shared" si="2"/>
        <v>4.1949810247644779</v>
      </c>
    </row>
    <row r="32" spans="4:11">
      <c r="D32">
        <f t="shared" si="0"/>
        <v>4.6317555755376813E-2</v>
      </c>
      <c r="E32">
        <f t="shared" si="1"/>
        <v>4.6317555755376816</v>
      </c>
      <c r="F32">
        <f t="shared" si="2"/>
        <v>4.1949810247644779</v>
      </c>
    </row>
  </sheetData>
  <dataValidations count="1">
    <dataValidation type="decimal" allowBlank="1" showInputMessage="1" showErrorMessage="1" sqref="D2:I13 J2:M4 J5:J9 L5:L9 J10:M16" xr:uid="{89F920E6-782C-4A76-9D27-5BF3B977A058}">
      <formula1>0</formula1>
      <formula2>1</formula2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8C59-CF5A-47F4-9750-D5E7312776B6}">
  <dimension ref="A1:G2"/>
  <sheetViews>
    <sheetView workbookViewId="0">
      <selection sqref="A1:G2"/>
    </sheetView>
  </sheetViews>
  <sheetFormatPr defaultRowHeight="15"/>
  <sheetData>
    <row r="1" spans="1:7">
      <c r="A1" s="8" t="s">
        <v>38</v>
      </c>
      <c r="B1" s="5">
        <v>5.4986770264804363E-3</v>
      </c>
      <c r="C1" s="5">
        <v>1.5363741666078568E-2</v>
      </c>
      <c r="D1" s="5">
        <v>0.28741943836212158</v>
      </c>
      <c r="E1" s="5">
        <v>0.38815444707870483</v>
      </c>
      <c r="F1" s="6">
        <v>0.11768850684165955</v>
      </c>
      <c r="G1" s="6">
        <v>0.18587517738342285</v>
      </c>
    </row>
    <row r="2" spans="1:7">
      <c r="A2" s="8" t="s">
        <v>39</v>
      </c>
      <c r="B2" s="5">
        <v>0.47877699136734009</v>
      </c>
      <c r="C2" s="5">
        <v>0.37963759899139404</v>
      </c>
      <c r="D2" s="5">
        <v>1.6551423817873001E-2</v>
      </c>
      <c r="E2" s="5">
        <v>2.0417984575033188E-2</v>
      </c>
      <c r="F2" s="6">
        <v>5.9158198535442352E-2</v>
      </c>
      <c r="G2" s="6">
        <v>4.5457862317562103E-2</v>
      </c>
    </row>
  </sheetData>
  <dataValidations count="1">
    <dataValidation type="decimal" allowBlank="1" showInputMessage="1" showErrorMessage="1" sqref="B1:G2" xr:uid="{1E1A4426-6792-4A51-BB1D-0DEE3A92DCD1}">
      <formula1>0</formula1>
      <formula2>1</formula2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11C3FEFFEFCF44990405A8404263A2" ma:contentTypeVersion="4" ma:contentTypeDescription="Create a new document." ma:contentTypeScope="" ma:versionID="3dc4baf5bca6f50981051f1202939c23">
  <xsd:schema xmlns:xsd="http://www.w3.org/2001/XMLSchema" xmlns:xs="http://www.w3.org/2001/XMLSchema" xmlns:p="http://schemas.microsoft.com/office/2006/metadata/properties" xmlns:ns2="79a1cdf2-2d4f-42d7-aee4-ff0e208e0f4a" targetNamespace="http://schemas.microsoft.com/office/2006/metadata/properties" ma:root="true" ma:fieldsID="1497dbabdd8844cfa90d09d2bdc2ce45" ns2:_="">
    <xsd:import namespace="79a1cdf2-2d4f-42d7-aee4-ff0e208e0f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a1cdf2-2d4f-42d7-aee4-ff0e208e0f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49A0F9-2E81-44C2-A3FE-722A90566CC8}"/>
</file>

<file path=customXml/itemProps2.xml><?xml version="1.0" encoding="utf-8"?>
<ds:datastoreItem xmlns:ds="http://schemas.openxmlformats.org/officeDocument/2006/customXml" ds:itemID="{4048B02C-DCD9-4760-9A3E-6C762E5E0491}"/>
</file>

<file path=customXml/itemProps3.xml><?xml version="1.0" encoding="utf-8"?>
<ds:datastoreItem xmlns:ds="http://schemas.openxmlformats.org/officeDocument/2006/customXml" ds:itemID="{6C4F85AE-6301-4275-977D-807ADA1E60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Andrew Johnson</cp:lastModifiedBy>
  <cp:revision/>
  <dcterms:created xsi:type="dcterms:W3CDTF">2025-10-14T15:12:12Z</dcterms:created>
  <dcterms:modified xsi:type="dcterms:W3CDTF">2025-10-27T18:23:07Z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0x010100B011C3FEFFEFCF44990405A8404263A2</vt:lpwstr>
  </property>
</Properties>
</file>